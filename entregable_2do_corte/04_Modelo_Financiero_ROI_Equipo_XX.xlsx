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puestos" sheetId="1" state="visible" r:id="rId1"/>
    <sheet name="Modelo" sheetId="2" state="visible" r:id="rId2"/>
    <sheet name="Escenarios" sheetId="3" state="visible" r:id="rId3"/>
    <sheet name="Flujo acumulado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&quot;$ &quot;#,##0"/>
    <numFmt numFmtId="165" formatCode="0.0"/>
  </numFmts>
  <fonts count="4">
    <font>
      <name val="Calibri"/>
      <family val="2"/>
      <color theme="1"/>
      <sz val="11"/>
      <scheme val="minor"/>
    </font>
    <font>
      <b val="1"/>
      <sz val="13"/>
    </font>
    <font>
      <b val="1"/>
      <color rgb="00FFFFFF"/>
    </font>
    <font>
      <b val="1"/>
    </font>
  </fonts>
  <fills count="5">
    <fill>
      <patternFill/>
    </fill>
    <fill>
      <patternFill patternType="gray125"/>
    </fill>
    <fill>
      <patternFill patternType="solid">
        <fgColor rgb="00141414"/>
      </patternFill>
    </fill>
    <fill>
      <patternFill patternType="solid">
        <fgColor rgb="00F5F5F5"/>
      </patternFill>
    </fill>
    <fill>
      <patternFill patternType="solid">
        <fgColor rgb="00FFCC00"/>
      </patternFill>
    </fill>
  </fills>
  <borders count="2">
    <border>
      <left/>
      <right/>
      <top/>
      <bottom/>
      <diagonal/>
    </border>
    <border>
      <left style="thin">
        <color rgb="00BBBBBB"/>
      </left>
      <right style="thin">
        <color rgb="00BBBBBB"/>
      </right>
      <top style="thin">
        <color rgb="00BBBBBB"/>
      </top>
      <bottom style="thin">
        <color rgb="00BBBBBB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vertical="center" wrapText="1"/>
    </xf>
    <xf numFmtId="0" fontId="0" fillId="0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4" borderId="0" pivotButton="0" quotePrefix="0" xfId="0"/>
    <xf numFmtId="164" fontId="0" fillId="0" borderId="1" pivotButton="0" quotePrefix="0" xfId="0"/>
    <xf numFmtId="0" fontId="3" fillId="0" borderId="0" pivotButton="0" quotePrefix="0" xfId="0"/>
    <xf numFmtId="164" fontId="3" fillId="0" borderId="0" pivotButton="0" quotePrefix="0" xfId="0"/>
    <xf numFmtId="164" fontId="0" fillId="0" borderId="0" pivotButton="0" quotePrefix="0" xfId="0"/>
    <xf numFmtId="164" fontId="3" fillId="4" borderId="0" pivotButton="0" quotePrefix="0" xfId="0"/>
    <xf numFmtId="165" fontId="3" fillId="4" borderId="0" pivotButton="0" quotePrefix="0" xfId="0"/>
    <xf numFmtId="165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7"/>
  <sheetViews>
    <sheetView workbookViewId="0">
      <selection activeCell="A1" sqref="A1"/>
    </sheetView>
  </sheetViews>
  <sheetFormatPr baseColWidth="8" defaultRowHeight="15"/>
  <cols>
    <col width="58" customWidth="1" min="1" max="1"/>
    <col width="14" customWidth="1" min="2" max="2"/>
    <col width="10" customWidth="1" min="3" max="3"/>
    <col width="12" customWidth="1" min="4" max="4"/>
    <col width="70" customWidth="1" min="5" max="5"/>
  </cols>
  <sheetData>
    <row r="1">
      <c r="A1" s="1" t="inlineStr">
        <is>
          <t>Hand Sing Kids — supuestos del modelo financiero (COP, año 1, una aula de música)</t>
        </is>
      </c>
    </row>
    <row r="3">
      <c r="A3" s="2" t="inlineStr">
        <is>
          <t>Parámetro</t>
        </is>
      </c>
      <c r="B3" s="2" t="inlineStr">
        <is>
          <t>Valor</t>
        </is>
      </c>
      <c r="C3" s="2" t="inlineStr">
        <is>
          <t>Unidad</t>
        </is>
      </c>
      <c r="D3" s="2" t="inlineStr">
        <is>
          <t>Tipo</t>
        </is>
      </c>
      <c r="E3" s="2" t="inlineStr">
        <is>
          <t>Nota</t>
        </is>
      </c>
    </row>
    <row r="4">
      <c r="A4" s="3" t="inlineStr">
        <is>
          <t>Tarifa de ingeniería junior</t>
        </is>
      </c>
      <c r="B4" s="4" t="n">
        <v>30000</v>
      </c>
      <c r="C4" s="3" t="inlineStr">
        <is>
          <t>COP/h</t>
        </is>
      </c>
      <c r="D4" s="3" t="inlineStr">
        <is>
          <t>Guía UPB</t>
        </is>
      </c>
      <c r="E4" s="3" t="inlineStr">
        <is>
          <t>Rango de la guía: 25.000 a 40.000</t>
        </is>
      </c>
    </row>
    <row r="5">
      <c r="A5" s="3" t="inlineStr">
        <is>
          <t>Horas de desarrollo reportadas por PINT2</t>
        </is>
      </c>
      <c r="B5" s="5" t="n">
        <v>120</v>
      </c>
      <c r="C5" s="3" t="inlineStr">
        <is>
          <t>h</t>
        </is>
      </c>
      <c r="D5" s="3" t="inlineStr">
        <is>
          <t>PINT2</t>
        </is>
      </c>
      <c r="E5" s="3" t="inlineStr">
        <is>
          <t>Fuente secundaria interna, no verificada</t>
        </is>
      </c>
    </row>
    <row r="6">
      <c r="A6" s="3" t="inlineStr">
        <is>
          <t>Horas de este corte (gobernanza, pruebas, documentación)</t>
        </is>
      </c>
      <c r="B6" s="5" t="n">
        <v>80</v>
      </c>
      <c r="C6" s="3" t="inlineStr">
        <is>
          <t>h</t>
        </is>
      </c>
      <c r="D6" s="3" t="inlineStr">
        <is>
          <t>SUPUESTO</t>
        </is>
      </c>
      <c r="E6" s="3" t="inlineStr">
        <is>
          <t>Validar con la bitácora del equipo</t>
        </is>
      </c>
    </row>
    <row r="7">
      <c r="A7" s="3" t="inlineStr">
        <is>
          <t>Cámara web 720p y periféricos</t>
        </is>
      </c>
      <c r="B7" s="5" t="n">
        <v>300000</v>
      </c>
      <c r="C7" s="3" t="inlineStr">
        <is>
          <t>COP</t>
        </is>
      </c>
      <c r="D7" s="3" t="inlineStr">
        <is>
          <t>PINT2</t>
        </is>
      </c>
      <c r="E7" s="3" t="inlineStr">
        <is>
          <t>Un kit por aula</t>
        </is>
      </c>
    </row>
    <row r="8">
      <c r="A8" s="3" t="inlineStr">
        <is>
          <t>Soportes y materiales</t>
        </is>
      </c>
      <c r="B8" s="5" t="n">
        <v>150000</v>
      </c>
      <c r="C8" s="3" t="inlineStr">
        <is>
          <t>COP</t>
        </is>
      </c>
      <c r="D8" s="3" t="inlineStr">
        <is>
          <t>PINT2</t>
        </is>
      </c>
      <c r="E8" s="3" t="inlineStr"/>
    </row>
    <row r="9">
      <c r="A9" s="3" t="inlineStr">
        <is>
          <t>Configuración inicial y entorno</t>
        </is>
      </c>
      <c r="B9" s="5" t="n">
        <v>200000</v>
      </c>
      <c r="C9" s="3" t="inlineStr">
        <is>
          <t>COP</t>
        </is>
      </c>
      <c r="D9" s="3" t="inlineStr">
        <is>
          <t>PINT2</t>
        </is>
      </c>
      <c r="E9" s="3" t="inlineStr">
        <is>
          <t>El software es de código abierto</t>
        </is>
      </c>
    </row>
    <row r="10">
      <c r="A10" s="3" t="inlineStr">
        <is>
          <t>Licenciamiento de software</t>
        </is>
      </c>
      <c r="B10" s="4" t="n">
        <v>0</v>
      </c>
      <c r="C10" s="3" t="inlineStr">
        <is>
          <t>COP</t>
        </is>
      </c>
      <c r="D10" s="3" t="inlineStr">
        <is>
          <t>Verificable</t>
        </is>
      </c>
      <c r="E10" s="3" t="inlineStr">
        <is>
          <t>Dependencias de código abierto</t>
        </is>
      </c>
    </row>
    <row r="11">
      <c r="A11" s="3" t="inlineStr">
        <is>
          <t>Horas de capacitación a docentes</t>
        </is>
      </c>
      <c r="B11" s="5" t="n">
        <v>4</v>
      </c>
      <c r="C11" s="3" t="inlineStr">
        <is>
          <t>h</t>
        </is>
      </c>
      <c r="D11" s="3" t="inlineStr">
        <is>
          <t>PINT2</t>
        </is>
      </c>
      <c r="E11" s="3" t="inlineStr"/>
    </row>
    <row r="12">
      <c r="A12" s="3" t="inlineStr">
        <is>
          <t>Costo hora docente</t>
        </is>
      </c>
      <c r="B12" s="5" t="n">
        <v>30000</v>
      </c>
      <c r="C12" s="3" t="inlineStr">
        <is>
          <t>COP/h</t>
        </is>
      </c>
      <c r="D12" s="3" t="inlineStr">
        <is>
          <t>PINT2</t>
        </is>
      </c>
      <c r="E12" s="3" t="inlineStr">
        <is>
          <t>Validar con la nómina de la institución</t>
        </is>
      </c>
    </row>
    <row r="13">
      <c r="A13" s="3" t="inlineStr">
        <is>
          <t>Consulta jurídica (Ley 1581 de 2012)</t>
        </is>
      </c>
      <c r="B13" s="5" t="n">
        <v>600000</v>
      </c>
      <c r="C13" s="3" t="inlineStr">
        <is>
          <t>COP</t>
        </is>
      </c>
      <c r="D13" s="3" t="inlineStr">
        <is>
          <t>SUPUESTO</t>
        </is>
      </c>
      <c r="E13" s="3" t="inlineStr">
        <is>
          <t>Datos de menores</t>
        </is>
      </c>
    </row>
    <row r="14">
      <c r="A14" s="3" t="inlineStr">
        <is>
          <t>Mantenimiento y soporte anual</t>
        </is>
      </c>
      <c r="B14" s="5" t="n">
        <v>300000</v>
      </c>
      <c r="C14" s="3" t="inlineStr">
        <is>
          <t>COP</t>
        </is>
      </c>
      <c r="D14" s="3" t="inlineStr">
        <is>
          <t>PINT2</t>
        </is>
      </c>
      <c r="E14" s="3" t="inlineStr"/>
    </row>
    <row r="15">
      <c r="A15" s="3" t="inlineStr">
        <is>
          <t>Reposición anual de hardware</t>
        </is>
      </c>
      <c r="B15" s="5" t="n">
        <v>0.1</v>
      </c>
      <c r="C15" s="3" t="inlineStr">
        <is>
          <t>fracción</t>
        </is>
      </c>
      <c r="D15" s="3" t="inlineStr">
        <is>
          <t>SUPUESTO</t>
        </is>
      </c>
      <c r="E15" s="3" t="inlineStr">
        <is>
          <t>Sobre el costo del hardware</t>
        </is>
      </c>
    </row>
    <row r="16">
      <c r="A16" s="3" t="inlineStr">
        <is>
          <t>Energía eléctrica anual</t>
        </is>
      </c>
      <c r="B16" s="5" t="n">
        <v>60000</v>
      </c>
      <c r="C16" s="3" t="inlineStr">
        <is>
          <t>COP</t>
        </is>
      </c>
      <c r="D16" s="3" t="inlineStr">
        <is>
          <t>SUPUESTO</t>
        </is>
      </c>
      <c r="E16" s="3" t="inlineStr"/>
    </row>
    <row r="17">
      <c r="A17" s="3" t="inlineStr">
        <is>
          <t>Infraestructura en la nube</t>
        </is>
      </c>
      <c r="B17" s="4" t="n">
        <v>0</v>
      </c>
      <c r="C17" s="3" t="inlineStr">
        <is>
          <t>COP</t>
        </is>
      </c>
      <c r="D17" s="3" t="inlineStr">
        <is>
          <t>Verificable</t>
        </is>
      </c>
      <c r="E17" s="3" t="inlineStr">
        <is>
          <t>El código no usa nube</t>
        </is>
      </c>
    </row>
    <row r="18">
      <c r="A18" s="3" t="inlineStr">
        <is>
          <t>API de inteligencia artificial</t>
        </is>
      </c>
      <c r="B18" s="4" t="n">
        <v>0</v>
      </c>
      <c r="C18" s="3" t="inlineStr">
        <is>
          <t>COP</t>
        </is>
      </c>
      <c r="D18" s="3" t="inlineStr">
        <is>
          <t>Verificable</t>
        </is>
      </c>
      <c r="E18" s="3" t="inlineStr">
        <is>
          <t>El código no llama a ninguna API de IA</t>
        </is>
      </c>
    </row>
    <row r="19">
      <c r="A19" s="3" t="inlineStr">
        <is>
          <t>Conectividad</t>
        </is>
      </c>
      <c r="B19" s="4" t="n">
        <v>0</v>
      </c>
      <c r="C19" s="3" t="inlineStr">
        <is>
          <t>COP</t>
        </is>
      </c>
      <c r="D19" s="3" t="inlineStr">
        <is>
          <t>Verificable</t>
        </is>
      </c>
      <c r="E19" s="3" t="inlineStr">
        <is>
          <t>La aplicación funciona sin internet</t>
        </is>
      </c>
    </row>
    <row r="20">
      <c r="A20" s="3" t="inlineStr">
        <is>
          <t>Horas docentes de nivelación individual por semana</t>
        </is>
      </c>
      <c r="B20" s="5" t="n">
        <v>1</v>
      </c>
      <c r="C20" s="3" t="inlineStr">
        <is>
          <t>h</t>
        </is>
      </c>
      <c r="D20" s="3" t="inlineStr">
        <is>
          <t>PINT2</t>
        </is>
      </c>
      <c r="E20" s="3" t="inlineStr">
        <is>
          <t>Reportado: 1,0 a 1,5 h; se usa el mínimo; medir en piloto</t>
        </is>
      </c>
    </row>
    <row r="21">
      <c r="A21" s="3" t="inlineStr">
        <is>
          <t>Semanas lectivas</t>
        </is>
      </c>
      <c r="B21" s="5" t="n">
        <v>40</v>
      </c>
      <c r="C21" s="3" t="inlineStr">
        <is>
          <t>sem</t>
        </is>
      </c>
      <c r="D21" s="3" t="inlineStr">
        <is>
          <t>PINT2</t>
        </is>
      </c>
      <c r="E21" s="3" t="inlineStr"/>
    </row>
    <row r="22">
      <c r="A22" s="3" t="inlineStr">
        <is>
          <t>Gasto anual en papelería por aula</t>
        </is>
      </c>
      <c r="B22" s="5" t="n">
        <v>600000</v>
      </c>
      <c r="C22" s="3" t="inlineStr">
        <is>
          <t>COP</t>
        </is>
      </c>
      <c r="D22" s="3" t="inlineStr">
        <is>
          <t>PINT2</t>
        </is>
      </c>
      <c r="E22" s="3" t="inlineStr">
        <is>
          <t>Fotocopias y cuadernos de caligrafía musical</t>
        </is>
      </c>
    </row>
    <row r="23">
      <c r="A23" s="3" t="inlineStr">
        <is>
          <t>Instrumental no adquirido (solo escenario optimista)</t>
        </is>
      </c>
      <c r="B23" s="5" t="n">
        <v>1000000</v>
      </c>
      <c r="C23" s="3" t="inlineStr">
        <is>
          <t>COP</t>
        </is>
      </c>
      <c r="D23" s="3" t="inlineStr">
        <is>
          <t>PINT2</t>
        </is>
      </c>
      <c r="E23" s="3" t="inlineStr">
        <is>
          <t>Beneficio discutible: no se incluye en el escenario base</t>
        </is>
      </c>
    </row>
    <row r="24">
      <c r="A24" s="3" t="inlineStr">
        <is>
          <t>Aulas de música que adoptan el sistema en una institución</t>
        </is>
      </c>
      <c r="B24" s="5" t="n">
        <v>4</v>
      </c>
      <c r="C24" s="3" t="inlineStr">
        <is>
          <t>u</t>
        </is>
      </c>
      <c r="D24" s="3" t="inlineStr">
        <is>
          <t>SUPUESTO</t>
        </is>
      </c>
      <c r="E24" s="3" t="inlineStr">
        <is>
          <t>Solo escenario «Institución con 4 aulas»</t>
        </is>
      </c>
    </row>
    <row r="26">
      <c r="A26" t="inlineStr">
        <is>
          <t>Factor de beneficios, escenario conservador</t>
        </is>
      </c>
      <c r="B26" s="6" t="n">
        <v>0.75</v>
      </c>
    </row>
    <row r="27">
      <c r="A27" t="inlineStr">
        <is>
          <t>Instituciones que comparten el desarrollo (escala)</t>
        </is>
      </c>
      <c r="B27" s="6" t="n">
        <v>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cols>
    <col width="12" customWidth="1" min="1" max="1"/>
    <col width="52" customWidth="1" min="2" max="2"/>
    <col width="52" customWidth="1" min="3" max="3"/>
    <col width="22" customWidth="1" min="4" max="4"/>
  </cols>
  <sheetData>
    <row r="1">
      <c r="A1" s="1" t="inlineStr">
        <is>
          <t>Modelo financiero — escenario Base (un aula de música)</t>
        </is>
      </c>
    </row>
    <row r="3">
      <c r="A3" s="2" t="inlineStr">
        <is>
          <t>Categoría</t>
        </is>
      </c>
      <c r="B3" s="2" t="inlineStr">
        <is>
          <t>Concepto</t>
        </is>
      </c>
      <c r="C3" s="2" t="inlineStr">
        <is>
          <t>Fórmula (detalle)</t>
        </is>
      </c>
      <c r="D3" s="2" t="inlineStr">
        <is>
          <t>Valor anual (COP)</t>
        </is>
      </c>
    </row>
    <row r="4">
      <c r="A4" s="3" t="inlineStr">
        <is>
          <t>CAPEX</t>
        </is>
      </c>
      <c r="B4" s="3" t="inlineStr">
        <is>
          <t>Horas de ingeniería y desarrollo</t>
        </is>
      </c>
      <c r="C4" s="3" t="inlineStr">
        <is>
          <t>(horas PINT2 + horas del corte) × tarifa</t>
        </is>
      </c>
      <c r="D4" s="7">
        <f>(Supuestos!$B$5+Supuestos!$B$6)*Supuestos!$B$4</f>
        <v/>
      </c>
    </row>
    <row r="5">
      <c r="A5" s="3" t="inlineStr">
        <is>
          <t>CAPEX</t>
        </is>
      </c>
      <c r="B5" s="3" t="inlineStr">
        <is>
          <t>Cámara web, periféricos y soportes</t>
        </is>
      </c>
      <c r="C5" s="3" t="inlineStr">
        <is>
          <t>kit + prototipado</t>
        </is>
      </c>
      <c r="D5" s="7">
        <f>(Supuestos!$B$7+Supuestos!$B$8)</f>
        <v/>
      </c>
    </row>
    <row r="6">
      <c r="A6" s="3" t="inlineStr">
        <is>
          <t>CAPEX</t>
        </is>
      </c>
      <c r="B6" s="3" t="inlineStr">
        <is>
          <t>Licenciamiento y configuración inicial</t>
        </is>
      </c>
      <c r="C6" s="3" t="inlineStr">
        <is>
          <t>licencias + configuración</t>
        </is>
      </c>
      <c r="D6" s="7">
        <f>Supuestos!$B$10+Supuestos!$B$9</f>
        <v/>
      </c>
    </row>
    <row r="7">
      <c r="A7" s="3" t="inlineStr">
        <is>
          <t>CAPEX</t>
        </is>
      </c>
      <c r="B7" s="3" t="inlineStr">
        <is>
          <t>Capacitación a docentes</t>
        </is>
      </c>
      <c r="C7" s="3" t="inlineStr">
        <is>
          <t>horas × tarifa docente</t>
        </is>
      </c>
      <c r="D7" s="7">
        <f>Supuestos!$B$11*Supuestos!$B$12</f>
        <v/>
      </c>
    </row>
    <row r="8">
      <c r="A8" s="3" t="inlineStr">
        <is>
          <t>CAPEX</t>
        </is>
      </c>
      <c r="B8" s="3" t="inlineStr">
        <is>
          <t>Consulta jurídica de protección de datos</t>
        </is>
      </c>
      <c r="C8" s="3" t="inlineStr"/>
      <c r="D8" s="7">
        <f>Supuestos!$B$13</f>
        <v/>
      </c>
    </row>
    <row r="9">
      <c r="B9" s="8" t="inlineStr">
        <is>
          <t>TOTAL CAPEX (I0)</t>
        </is>
      </c>
      <c r="D9" s="9">
        <f>SUM(D4:D8)</f>
        <v/>
      </c>
    </row>
    <row r="10">
      <c r="D10" s="10" t="n"/>
    </row>
    <row r="11">
      <c r="A11" s="3" t="inlineStr">
        <is>
          <t>OPEX</t>
        </is>
      </c>
      <c r="B11" s="3" t="inlineStr">
        <is>
          <t>Mantenimiento y soporte técnico</t>
        </is>
      </c>
      <c r="C11" s="3" t="inlineStr">
        <is>
          <t>anual</t>
        </is>
      </c>
      <c r="D11" s="7">
        <f>Supuestos!$B$14</f>
        <v/>
      </c>
    </row>
    <row r="12">
      <c r="A12" s="3" t="inlineStr">
        <is>
          <t>OPEX</t>
        </is>
      </c>
      <c r="B12" s="3" t="inlineStr">
        <is>
          <t>Reposición de hardware</t>
        </is>
      </c>
      <c r="C12" s="3" t="inlineStr">
        <is>
          <t>% × hardware</t>
        </is>
      </c>
      <c r="D12" s="7">
        <f>Supuestos!$B$15*(Supuestos!$B$7+Supuestos!$B$8)</f>
        <v/>
      </c>
    </row>
    <row r="13">
      <c r="A13" s="3" t="inlineStr">
        <is>
          <t>OPEX</t>
        </is>
      </c>
      <c r="B13" s="3" t="inlineStr">
        <is>
          <t>Energía eléctrica</t>
        </is>
      </c>
      <c r="C13" s="3" t="inlineStr"/>
      <c r="D13" s="7">
        <f>Supuestos!$B$16</f>
        <v/>
      </c>
    </row>
    <row r="14">
      <c r="A14" s="3" t="inlineStr">
        <is>
          <t>OPEX</t>
        </is>
      </c>
      <c r="B14" s="3" t="inlineStr">
        <is>
          <t>Nube, API de IA y conectividad</t>
        </is>
      </c>
      <c r="C14" s="3" t="inlineStr">
        <is>
          <t>el código no los usa</t>
        </is>
      </c>
      <c r="D14" s="7">
        <f>Supuestos!$B$17+Supuestos!$B$18+Supuestos!$B$19</f>
        <v/>
      </c>
    </row>
    <row r="15">
      <c r="B15" s="8" t="inlineStr">
        <is>
          <t>TOTAL OPEX anual</t>
        </is>
      </c>
      <c r="D15" s="9">
        <f>SUM(D11:D14)</f>
        <v/>
      </c>
    </row>
    <row r="16">
      <c r="D16" s="10" t="n"/>
    </row>
    <row r="17">
      <c r="A17" s="3" t="inlineStr">
        <is>
          <t>BENEFICIO</t>
        </is>
      </c>
      <c r="B17" s="3" t="inlineStr">
        <is>
          <t>Ahorro de tiempo docente en nivelación individual</t>
        </is>
      </c>
      <c r="C17" s="3" t="inlineStr">
        <is>
          <t>h/sem × semanas × costo hora</t>
        </is>
      </c>
      <c r="D17" s="7">
        <f>Supuestos!$B$20*Supuestos!$B$21*Supuestos!$B$12</f>
        <v/>
      </c>
    </row>
    <row r="18">
      <c r="A18" s="3" t="inlineStr">
        <is>
          <t>BENEFICIO</t>
        </is>
      </c>
      <c r="B18" s="3" t="inlineStr">
        <is>
          <t>Reducción del gasto en papelería didáctica</t>
        </is>
      </c>
      <c r="C18" s="3" t="inlineStr">
        <is>
          <t>por aula y año</t>
        </is>
      </c>
      <c r="D18" s="7">
        <f>Supuestos!$B$22</f>
        <v/>
      </c>
    </row>
    <row r="19">
      <c r="B19" s="8" t="inlineStr">
        <is>
          <t>TOTAL BENEFICIOS BRUTOS anuales</t>
        </is>
      </c>
      <c r="D19" s="9">
        <f>SUM(D17:D18)</f>
        <v/>
      </c>
    </row>
    <row r="20">
      <c r="D20" s="10" t="n"/>
    </row>
    <row r="21">
      <c r="B21" s="8" t="inlineStr">
        <is>
          <t>Beneficio neto anual</t>
        </is>
      </c>
      <c r="D21" s="11">
        <f>D19-D15</f>
        <v/>
      </c>
    </row>
    <row r="22">
      <c r="B22" s="8" t="inlineStr">
        <is>
          <t>ROI calculado (año 1), %</t>
        </is>
      </c>
      <c r="D22" s="12">
        <f>D21/D9*100</f>
        <v/>
      </c>
    </row>
    <row r="23">
      <c r="B23" s="8" t="inlineStr">
        <is>
          <t>Beneficio neto mensual</t>
        </is>
      </c>
      <c r="D23" s="11">
        <f>D21/12</f>
        <v/>
      </c>
    </row>
    <row r="24">
      <c r="B24" s="8" t="inlineStr">
        <is>
          <t>Periodo de retorno (payback), meses</t>
        </is>
      </c>
      <c r="D24" s="12">
        <f>D9/D23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cols>
    <col width="50" customWidth="1" min="1" max="1"/>
    <col width="16" customWidth="1" min="2" max="2"/>
    <col width="16" customWidth="1" min="3" max="3"/>
    <col width="18" customWidth="1" min="4" max="4"/>
    <col width="16" customWidth="1" min="5" max="5"/>
    <col width="14" customWidth="1" min="6" max="6"/>
    <col width="16" customWidth="1" min="7" max="7"/>
    <col width="14" customWidth="1" min="8" max="8"/>
    <col width="16" customWidth="1" min="9" max="9"/>
  </cols>
  <sheetData>
    <row r="1">
      <c r="A1" s="1" t="inlineStr">
        <is>
          <t>Escenarios frente a los criterios de la guía</t>
        </is>
      </c>
    </row>
    <row r="3">
      <c r="A3" s="2" t="inlineStr">
        <is>
          <t>Escenario</t>
        </is>
      </c>
      <c r="B3" s="2" t="inlineStr">
        <is>
          <t>CAPEX</t>
        </is>
      </c>
      <c r="C3" s="2" t="inlineStr">
        <is>
          <t>OPEX anual</t>
        </is>
      </c>
      <c r="D3" s="2" t="inlineStr">
        <is>
          <t>Beneficios brutos</t>
        </is>
      </c>
      <c r="E3" s="2" t="inlineStr">
        <is>
          <t>Beneficio neto</t>
        </is>
      </c>
      <c r="F3" s="2" t="inlineStr">
        <is>
          <t>ROI año 1 (%)</t>
        </is>
      </c>
      <c r="G3" s="2" t="inlineStr">
        <is>
          <t>Payback (meses)</t>
        </is>
      </c>
      <c r="H3" s="2" t="inlineStr">
        <is>
          <t>¿ROI ≥ 30 %?</t>
        </is>
      </c>
      <c r="I3" s="2" t="inlineStr">
        <is>
          <t>¿Payback ≤ 12 m?</t>
        </is>
      </c>
    </row>
    <row r="4">
      <c r="A4" s="3" t="inlineStr">
        <is>
          <t>Conservador (beneficios -25 %)</t>
        </is>
      </c>
      <c r="B4" s="7">
        <f>Modelo!D9</f>
        <v/>
      </c>
      <c r="C4" s="7">
        <f>Modelo!D15</f>
        <v/>
      </c>
      <c r="D4" s="7">
        <f>Modelo!D19*Supuestos!$B$26</f>
        <v/>
      </c>
      <c r="E4" s="7">
        <f>D4-C4</f>
        <v/>
      </c>
      <c r="F4" s="13">
        <f>E4/B4*100</f>
        <v/>
      </c>
      <c r="G4" s="13">
        <f>B4/(E4/12)</f>
        <v/>
      </c>
      <c r="H4" s="3">
        <f>IF(F4&gt;=30,"Sí","No")</f>
        <v/>
      </c>
      <c r="I4" s="3">
        <f>IF(G4&lt;=12,"Sí","No")</f>
        <v/>
      </c>
    </row>
    <row r="5">
      <c r="A5" s="3" t="inlineStr">
        <is>
          <t>Base (1 aula)</t>
        </is>
      </c>
      <c r="B5" s="7">
        <f>Modelo!D9</f>
        <v/>
      </c>
      <c r="C5" s="7">
        <f>Modelo!D15</f>
        <v/>
      </c>
      <c r="D5" s="7">
        <f>Modelo!D19</f>
        <v/>
      </c>
      <c r="E5" s="7">
        <f>D5-C5</f>
        <v/>
      </c>
      <c r="F5" s="13">
        <f>E5/B5*100</f>
        <v/>
      </c>
      <c r="G5" s="13">
        <f>B5/(E5/12)</f>
        <v/>
      </c>
      <c r="H5" s="3">
        <f>IF(F5&gt;=30,"Sí","No")</f>
        <v/>
      </c>
      <c r="I5" s="3">
        <f>IF(G5&lt;=12,"Sí","No")</f>
        <v/>
      </c>
    </row>
    <row r="6">
      <c r="A6" s="3" t="inlineStr">
        <is>
          <t>Optimista (con instrumental evitado)</t>
        </is>
      </c>
      <c r="B6" s="7">
        <f>Modelo!D9</f>
        <v/>
      </c>
      <c r="C6" s="7">
        <f>Modelo!D15</f>
        <v/>
      </c>
      <c r="D6" s="7">
        <f>Modelo!D19+Supuestos!$B$23</f>
        <v/>
      </c>
      <c r="E6" s="7">
        <f>D6-C6</f>
        <v/>
      </c>
      <c r="F6" s="13">
        <f>E6/B6*100</f>
        <v/>
      </c>
      <c r="G6" s="13">
        <f>B6/(E6/12)</f>
        <v/>
      </c>
      <c r="H6" s="3">
        <f>IF(F6&gt;=30,"Sí","No")</f>
        <v/>
      </c>
      <c r="I6" s="3">
        <f>IF(G6&lt;=12,"Sí","No")</f>
        <v/>
      </c>
    </row>
    <row r="7">
      <c r="A7" s="3" t="inlineStr">
        <is>
          <t>Institución con 4 aulas</t>
        </is>
      </c>
      <c r="B7" s="7">
        <f>(Supuestos!$B$5+Supuestos!$B$6)*Supuestos!$B$4+Supuestos!$B$24*(Supuestos!$B$7+Supuestos!$B$8)+Supuestos!$B$10+Supuestos!$B$9+Supuestos!$B$24*Supuestos!$B$11*Supuestos!$B$12+Supuestos!$B$13</f>
        <v/>
      </c>
      <c r="C7" s="7">
        <f>Supuestos!$B$14+Supuestos!$B$24*(Supuestos!$B$15*(Supuestos!$B$7+Supuestos!$B$8)+Supuestos!$B$16)</f>
        <v/>
      </c>
      <c r="D7" s="7">
        <f>Supuestos!$B$24*Modelo!D19</f>
        <v/>
      </c>
      <c r="E7" s="7">
        <f>D7-C7</f>
        <v/>
      </c>
      <c r="F7" s="13">
        <f>E7/B7*100</f>
        <v/>
      </c>
      <c r="G7" s="13">
        <f>B7/(E7/12)</f>
        <v/>
      </c>
      <c r="H7" s="3">
        <f>IF(F7&gt;=30,"Sí","No")</f>
        <v/>
      </c>
      <c r="I7" s="3">
        <f>IF(G7&lt;=12,"Sí","No")</f>
        <v/>
      </c>
    </row>
    <row r="8">
      <c r="A8" s="3" t="inlineStr">
        <is>
          <t>Escala (3 instituciones comparten el desarrollo)</t>
        </is>
      </c>
      <c r="B8" s="7">
        <f>Modelo!D9-(Supuestos!$B$5+Supuestos!$B$6)*Supuestos!$B$4+(Supuestos!$B$5+Supuestos!$B$6)*Supuestos!$B$4/Supuestos!$B$27</f>
        <v/>
      </c>
      <c r="C8" s="7">
        <f>Modelo!D15</f>
        <v/>
      </c>
      <c r="D8" s="7">
        <f>Modelo!D19</f>
        <v/>
      </c>
      <c r="E8" s="7">
        <f>D8-C8</f>
        <v/>
      </c>
      <c r="F8" s="13">
        <f>E8/B8*100</f>
        <v/>
      </c>
      <c r="G8" s="13">
        <f>B8/(E8/12)</f>
        <v/>
      </c>
      <c r="H8" s="3">
        <f>IF(F8&gt;=30,"Sí","No")</f>
        <v/>
      </c>
      <c r="I8" s="3">
        <f>IF(G8&lt;=12,"Sí","No")</f>
        <v/>
      </c>
    </row>
    <row r="9">
      <c r="A9" s="3" t="inlineStr">
        <is>
          <t>Escala y optimista</t>
        </is>
      </c>
      <c r="B9" s="7">
        <f>Modelo!D9-(Supuestos!$B$5+Supuestos!$B$6)*Supuestos!$B$4+(Supuestos!$B$5+Supuestos!$B$6)*Supuestos!$B$4/Supuestos!$B$27</f>
        <v/>
      </c>
      <c r="C9" s="7">
        <f>Modelo!D15</f>
        <v/>
      </c>
      <c r="D9" s="7">
        <f>Modelo!D19+Supuestos!$B$23</f>
        <v/>
      </c>
      <c r="E9" s="7">
        <f>D9-C9</f>
        <v/>
      </c>
      <c r="F9" s="13">
        <f>E9/B9*100</f>
        <v/>
      </c>
      <c r="G9" s="13">
        <f>B9/(E9/12)</f>
        <v/>
      </c>
      <c r="H9" s="3">
        <f>IF(F9&gt;=30,"Sí","No")</f>
        <v/>
      </c>
      <c r="I9" s="3">
        <f>IF(G9&lt;=12,"Sí","No")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64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</cols>
  <sheetData>
    <row r="1">
      <c r="A1" s="1" t="inlineStr">
        <is>
          <t>Posición acumulada = −CAPEX + mes × beneficio neto mensual</t>
        </is>
      </c>
    </row>
    <row r="3">
      <c r="A3" s="2" t="inlineStr">
        <is>
          <t>Mes</t>
        </is>
      </c>
      <c r="B3" s="2" t="inlineStr">
        <is>
          <t>Conservador</t>
        </is>
      </c>
      <c r="C3" s="2" t="inlineStr">
        <is>
          <t>Base</t>
        </is>
      </c>
      <c r="D3" s="2" t="inlineStr">
        <is>
          <t>Optimista</t>
        </is>
      </c>
      <c r="E3" s="2" t="inlineStr">
        <is>
          <t>Institución 4 aulas</t>
        </is>
      </c>
      <c r="F3" s="2" t="inlineStr">
        <is>
          <t>Escala</t>
        </is>
      </c>
      <c r="G3" s="2" t="inlineStr">
        <is>
          <t>Escala y optimista</t>
        </is>
      </c>
    </row>
    <row r="4">
      <c r="A4" t="n">
        <v>0</v>
      </c>
      <c r="B4" s="10">
        <f>-Escenarios!$B$4+A4*Escenarios!$E$4/12</f>
        <v/>
      </c>
      <c r="C4" s="10">
        <f>-Escenarios!$B$5+A4*Escenarios!$E$5/12</f>
        <v/>
      </c>
      <c r="D4" s="10">
        <f>-Escenarios!$B$6+A4*Escenarios!$E$6/12</f>
        <v/>
      </c>
      <c r="E4" s="10">
        <f>-Escenarios!$B$7+A4*Escenarios!$E$7/12</f>
        <v/>
      </c>
      <c r="F4" s="10">
        <f>-Escenarios!$B$8+A4*Escenarios!$E$8/12</f>
        <v/>
      </c>
      <c r="G4" s="10">
        <f>-Escenarios!$B$9+A4*Escenarios!$E$9/12</f>
        <v/>
      </c>
    </row>
    <row r="5">
      <c r="A5" t="n">
        <v>1</v>
      </c>
      <c r="B5" s="10">
        <f>-Escenarios!$B$4+A5*Escenarios!$E$4/12</f>
        <v/>
      </c>
      <c r="C5" s="10">
        <f>-Escenarios!$B$5+A5*Escenarios!$E$5/12</f>
        <v/>
      </c>
      <c r="D5" s="10">
        <f>-Escenarios!$B$6+A5*Escenarios!$E$6/12</f>
        <v/>
      </c>
      <c r="E5" s="10">
        <f>-Escenarios!$B$7+A5*Escenarios!$E$7/12</f>
        <v/>
      </c>
      <c r="F5" s="10">
        <f>-Escenarios!$B$8+A5*Escenarios!$E$8/12</f>
        <v/>
      </c>
      <c r="G5" s="10">
        <f>-Escenarios!$B$9+A5*Escenarios!$E$9/12</f>
        <v/>
      </c>
    </row>
    <row r="6">
      <c r="A6" t="n">
        <v>2</v>
      </c>
      <c r="B6" s="10">
        <f>-Escenarios!$B$4+A6*Escenarios!$E$4/12</f>
        <v/>
      </c>
      <c r="C6" s="10">
        <f>-Escenarios!$B$5+A6*Escenarios!$E$5/12</f>
        <v/>
      </c>
      <c r="D6" s="10">
        <f>-Escenarios!$B$6+A6*Escenarios!$E$6/12</f>
        <v/>
      </c>
      <c r="E6" s="10">
        <f>-Escenarios!$B$7+A6*Escenarios!$E$7/12</f>
        <v/>
      </c>
      <c r="F6" s="10">
        <f>-Escenarios!$B$8+A6*Escenarios!$E$8/12</f>
        <v/>
      </c>
      <c r="G6" s="10">
        <f>-Escenarios!$B$9+A6*Escenarios!$E$9/12</f>
        <v/>
      </c>
    </row>
    <row r="7">
      <c r="A7" t="n">
        <v>3</v>
      </c>
      <c r="B7" s="10">
        <f>-Escenarios!$B$4+A7*Escenarios!$E$4/12</f>
        <v/>
      </c>
      <c r="C7" s="10">
        <f>-Escenarios!$B$5+A7*Escenarios!$E$5/12</f>
        <v/>
      </c>
      <c r="D7" s="10">
        <f>-Escenarios!$B$6+A7*Escenarios!$E$6/12</f>
        <v/>
      </c>
      <c r="E7" s="10">
        <f>-Escenarios!$B$7+A7*Escenarios!$E$7/12</f>
        <v/>
      </c>
      <c r="F7" s="10">
        <f>-Escenarios!$B$8+A7*Escenarios!$E$8/12</f>
        <v/>
      </c>
      <c r="G7" s="10">
        <f>-Escenarios!$B$9+A7*Escenarios!$E$9/12</f>
        <v/>
      </c>
    </row>
    <row r="8">
      <c r="A8" t="n">
        <v>4</v>
      </c>
      <c r="B8" s="10">
        <f>-Escenarios!$B$4+A8*Escenarios!$E$4/12</f>
        <v/>
      </c>
      <c r="C8" s="10">
        <f>-Escenarios!$B$5+A8*Escenarios!$E$5/12</f>
        <v/>
      </c>
      <c r="D8" s="10">
        <f>-Escenarios!$B$6+A8*Escenarios!$E$6/12</f>
        <v/>
      </c>
      <c r="E8" s="10">
        <f>-Escenarios!$B$7+A8*Escenarios!$E$7/12</f>
        <v/>
      </c>
      <c r="F8" s="10">
        <f>-Escenarios!$B$8+A8*Escenarios!$E$8/12</f>
        <v/>
      </c>
      <c r="G8" s="10">
        <f>-Escenarios!$B$9+A8*Escenarios!$E$9/12</f>
        <v/>
      </c>
    </row>
    <row r="9">
      <c r="A9" t="n">
        <v>5</v>
      </c>
      <c r="B9" s="10">
        <f>-Escenarios!$B$4+A9*Escenarios!$E$4/12</f>
        <v/>
      </c>
      <c r="C9" s="10">
        <f>-Escenarios!$B$5+A9*Escenarios!$E$5/12</f>
        <v/>
      </c>
      <c r="D9" s="10">
        <f>-Escenarios!$B$6+A9*Escenarios!$E$6/12</f>
        <v/>
      </c>
      <c r="E9" s="10">
        <f>-Escenarios!$B$7+A9*Escenarios!$E$7/12</f>
        <v/>
      </c>
      <c r="F9" s="10">
        <f>-Escenarios!$B$8+A9*Escenarios!$E$8/12</f>
        <v/>
      </c>
      <c r="G9" s="10">
        <f>-Escenarios!$B$9+A9*Escenarios!$E$9/12</f>
        <v/>
      </c>
    </row>
    <row r="10">
      <c r="A10" t="n">
        <v>6</v>
      </c>
      <c r="B10" s="10">
        <f>-Escenarios!$B$4+A10*Escenarios!$E$4/12</f>
        <v/>
      </c>
      <c r="C10" s="10">
        <f>-Escenarios!$B$5+A10*Escenarios!$E$5/12</f>
        <v/>
      </c>
      <c r="D10" s="10">
        <f>-Escenarios!$B$6+A10*Escenarios!$E$6/12</f>
        <v/>
      </c>
      <c r="E10" s="10">
        <f>-Escenarios!$B$7+A10*Escenarios!$E$7/12</f>
        <v/>
      </c>
      <c r="F10" s="10">
        <f>-Escenarios!$B$8+A10*Escenarios!$E$8/12</f>
        <v/>
      </c>
      <c r="G10" s="10">
        <f>-Escenarios!$B$9+A10*Escenarios!$E$9/12</f>
        <v/>
      </c>
    </row>
    <row r="11">
      <c r="A11" t="n">
        <v>7</v>
      </c>
      <c r="B11" s="10">
        <f>-Escenarios!$B$4+A11*Escenarios!$E$4/12</f>
        <v/>
      </c>
      <c r="C11" s="10">
        <f>-Escenarios!$B$5+A11*Escenarios!$E$5/12</f>
        <v/>
      </c>
      <c r="D11" s="10">
        <f>-Escenarios!$B$6+A11*Escenarios!$E$6/12</f>
        <v/>
      </c>
      <c r="E11" s="10">
        <f>-Escenarios!$B$7+A11*Escenarios!$E$7/12</f>
        <v/>
      </c>
      <c r="F11" s="10">
        <f>-Escenarios!$B$8+A11*Escenarios!$E$8/12</f>
        <v/>
      </c>
      <c r="G11" s="10">
        <f>-Escenarios!$B$9+A11*Escenarios!$E$9/12</f>
        <v/>
      </c>
    </row>
    <row r="12">
      <c r="A12" t="n">
        <v>8</v>
      </c>
      <c r="B12" s="10">
        <f>-Escenarios!$B$4+A12*Escenarios!$E$4/12</f>
        <v/>
      </c>
      <c r="C12" s="10">
        <f>-Escenarios!$B$5+A12*Escenarios!$E$5/12</f>
        <v/>
      </c>
      <c r="D12" s="10">
        <f>-Escenarios!$B$6+A12*Escenarios!$E$6/12</f>
        <v/>
      </c>
      <c r="E12" s="10">
        <f>-Escenarios!$B$7+A12*Escenarios!$E$7/12</f>
        <v/>
      </c>
      <c r="F12" s="10">
        <f>-Escenarios!$B$8+A12*Escenarios!$E$8/12</f>
        <v/>
      </c>
      <c r="G12" s="10">
        <f>-Escenarios!$B$9+A12*Escenarios!$E$9/12</f>
        <v/>
      </c>
    </row>
    <row r="13">
      <c r="A13" t="n">
        <v>9</v>
      </c>
      <c r="B13" s="10">
        <f>-Escenarios!$B$4+A13*Escenarios!$E$4/12</f>
        <v/>
      </c>
      <c r="C13" s="10">
        <f>-Escenarios!$B$5+A13*Escenarios!$E$5/12</f>
        <v/>
      </c>
      <c r="D13" s="10">
        <f>-Escenarios!$B$6+A13*Escenarios!$E$6/12</f>
        <v/>
      </c>
      <c r="E13" s="10">
        <f>-Escenarios!$B$7+A13*Escenarios!$E$7/12</f>
        <v/>
      </c>
      <c r="F13" s="10">
        <f>-Escenarios!$B$8+A13*Escenarios!$E$8/12</f>
        <v/>
      </c>
      <c r="G13" s="10">
        <f>-Escenarios!$B$9+A13*Escenarios!$E$9/12</f>
        <v/>
      </c>
    </row>
    <row r="14">
      <c r="A14" t="n">
        <v>10</v>
      </c>
      <c r="B14" s="10">
        <f>-Escenarios!$B$4+A14*Escenarios!$E$4/12</f>
        <v/>
      </c>
      <c r="C14" s="10">
        <f>-Escenarios!$B$5+A14*Escenarios!$E$5/12</f>
        <v/>
      </c>
      <c r="D14" s="10">
        <f>-Escenarios!$B$6+A14*Escenarios!$E$6/12</f>
        <v/>
      </c>
      <c r="E14" s="10">
        <f>-Escenarios!$B$7+A14*Escenarios!$E$7/12</f>
        <v/>
      </c>
      <c r="F14" s="10">
        <f>-Escenarios!$B$8+A14*Escenarios!$E$8/12</f>
        <v/>
      </c>
      <c r="G14" s="10">
        <f>-Escenarios!$B$9+A14*Escenarios!$E$9/12</f>
        <v/>
      </c>
    </row>
    <row r="15">
      <c r="A15" t="n">
        <v>11</v>
      </c>
      <c r="B15" s="10">
        <f>-Escenarios!$B$4+A15*Escenarios!$E$4/12</f>
        <v/>
      </c>
      <c r="C15" s="10">
        <f>-Escenarios!$B$5+A15*Escenarios!$E$5/12</f>
        <v/>
      </c>
      <c r="D15" s="10">
        <f>-Escenarios!$B$6+A15*Escenarios!$E$6/12</f>
        <v/>
      </c>
      <c r="E15" s="10">
        <f>-Escenarios!$B$7+A15*Escenarios!$E$7/12</f>
        <v/>
      </c>
      <c r="F15" s="10">
        <f>-Escenarios!$B$8+A15*Escenarios!$E$8/12</f>
        <v/>
      </c>
      <c r="G15" s="10">
        <f>-Escenarios!$B$9+A15*Escenarios!$E$9/12</f>
        <v/>
      </c>
    </row>
    <row r="16">
      <c r="A16" t="n">
        <v>12</v>
      </c>
      <c r="B16" s="10">
        <f>-Escenarios!$B$4+A16*Escenarios!$E$4/12</f>
        <v/>
      </c>
      <c r="C16" s="10">
        <f>-Escenarios!$B$5+A16*Escenarios!$E$5/12</f>
        <v/>
      </c>
      <c r="D16" s="10">
        <f>-Escenarios!$B$6+A16*Escenarios!$E$6/12</f>
        <v/>
      </c>
      <c r="E16" s="10">
        <f>-Escenarios!$B$7+A16*Escenarios!$E$7/12</f>
        <v/>
      </c>
      <c r="F16" s="10">
        <f>-Escenarios!$B$8+A16*Escenarios!$E$8/12</f>
        <v/>
      </c>
      <c r="G16" s="10">
        <f>-Escenarios!$B$9+A16*Escenarios!$E$9/12</f>
        <v/>
      </c>
    </row>
    <row r="17">
      <c r="A17" t="n">
        <v>13</v>
      </c>
      <c r="B17" s="10">
        <f>-Escenarios!$B$4+A17*Escenarios!$E$4/12</f>
        <v/>
      </c>
      <c r="C17" s="10">
        <f>-Escenarios!$B$5+A17*Escenarios!$E$5/12</f>
        <v/>
      </c>
      <c r="D17" s="10">
        <f>-Escenarios!$B$6+A17*Escenarios!$E$6/12</f>
        <v/>
      </c>
      <c r="E17" s="10">
        <f>-Escenarios!$B$7+A17*Escenarios!$E$7/12</f>
        <v/>
      </c>
      <c r="F17" s="10">
        <f>-Escenarios!$B$8+A17*Escenarios!$E$8/12</f>
        <v/>
      </c>
      <c r="G17" s="10">
        <f>-Escenarios!$B$9+A17*Escenarios!$E$9/12</f>
        <v/>
      </c>
    </row>
    <row r="18">
      <c r="A18" t="n">
        <v>14</v>
      </c>
      <c r="B18" s="10">
        <f>-Escenarios!$B$4+A18*Escenarios!$E$4/12</f>
        <v/>
      </c>
      <c r="C18" s="10">
        <f>-Escenarios!$B$5+A18*Escenarios!$E$5/12</f>
        <v/>
      </c>
      <c r="D18" s="10">
        <f>-Escenarios!$B$6+A18*Escenarios!$E$6/12</f>
        <v/>
      </c>
      <c r="E18" s="10">
        <f>-Escenarios!$B$7+A18*Escenarios!$E$7/12</f>
        <v/>
      </c>
      <c r="F18" s="10">
        <f>-Escenarios!$B$8+A18*Escenarios!$E$8/12</f>
        <v/>
      </c>
      <c r="G18" s="10">
        <f>-Escenarios!$B$9+A18*Escenarios!$E$9/12</f>
        <v/>
      </c>
    </row>
    <row r="19">
      <c r="A19" t="n">
        <v>15</v>
      </c>
      <c r="B19" s="10">
        <f>-Escenarios!$B$4+A19*Escenarios!$E$4/12</f>
        <v/>
      </c>
      <c r="C19" s="10">
        <f>-Escenarios!$B$5+A19*Escenarios!$E$5/12</f>
        <v/>
      </c>
      <c r="D19" s="10">
        <f>-Escenarios!$B$6+A19*Escenarios!$E$6/12</f>
        <v/>
      </c>
      <c r="E19" s="10">
        <f>-Escenarios!$B$7+A19*Escenarios!$E$7/12</f>
        <v/>
      </c>
      <c r="F19" s="10">
        <f>-Escenarios!$B$8+A19*Escenarios!$E$8/12</f>
        <v/>
      </c>
      <c r="G19" s="10">
        <f>-Escenarios!$B$9+A19*Escenarios!$E$9/12</f>
        <v/>
      </c>
    </row>
    <row r="20">
      <c r="A20" t="n">
        <v>16</v>
      </c>
      <c r="B20" s="10">
        <f>-Escenarios!$B$4+A20*Escenarios!$E$4/12</f>
        <v/>
      </c>
      <c r="C20" s="10">
        <f>-Escenarios!$B$5+A20*Escenarios!$E$5/12</f>
        <v/>
      </c>
      <c r="D20" s="10">
        <f>-Escenarios!$B$6+A20*Escenarios!$E$6/12</f>
        <v/>
      </c>
      <c r="E20" s="10">
        <f>-Escenarios!$B$7+A20*Escenarios!$E$7/12</f>
        <v/>
      </c>
      <c r="F20" s="10">
        <f>-Escenarios!$B$8+A20*Escenarios!$E$8/12</f>
        <v/>
      </c>
      <c r="G20" s="10">
        <f>-Escenarios!$B$9+A20*Escenarios!$E$9/12</f>
        <v/>
      </c>
    </row>
    <row r="21">
      <c r="A21" t="n">
        <v>17</v>
      </c>
      <c r="B21" s="10">
        <f>-Escenarios!$B$4+A21*Escenarios!$E$4/12</f>
        <v/>
      </c>
      <c r="C21" s="10">
        <f>-Escenarios!$B$5+A21*Escenarios!$E$5/12</f>
        <v/>
      </c>
      <c r="D21" s="10">
        <f>-Escenarios!$B$6+A21*Escenarios!$E$6/12</f>
        <v/>
      </c>
      <c r="E21" s="10">
        <f>-Escenarios!$B$7+A21*Escenarios!$E$7/12</f>
        <v/>
      </c>
      <c r="F21" s="10">
        <f>-Escenarios!$B$8+A21*Escenarios!$E$8/12</f>
        <v/>
      </c>
      <c r="G21" s="10">
        <f>-Escenarios!$B$9+A21*Escenarios!$E$9/12</f>
        <v/>
      </c>
    </row>
    <row r="22">
      <c r="A22" t="n">
        <v>18</v>
      </c>
      <c r="B22" s="10">
        <f>-Escenarios!$B$4+A22*Escenarios!$E$4/12</f>
        <v/>
      </c>
      <c r="C22" s="10">
        <f>-Escenarios!$B$5+A22*Escenarios!$E$5/12</f>
        <v/>
      </c>
      <c r="D22" s="10">
        <f>-Escenarios!$B$6+A22*Escenarios!$E$6/12</f>
        <v/>
      </c>
      <c r="E22" s="10">
        <f>-Escenarios!$B$7+A22*Escenarios!$E$7/12</f>
        <v/>
      </c>
      <c r="F22" s="10">
        <f>-Escenarios!$B$8+A22*Escenarios!$E$8/12</f>
        <v/>
      </c>
      <c r="G22" s="10">
        <f>-Escenarios!$B$9+A22*Escenarios!$E$9/12</f>
        <v/>
      </c>
    </row>
    <row r="23">
      <c r="A23" t="n">
        <v>19</v>
      </c>
      <c r="B23" s="10">
        <f>-Escenarios!$B$4+A23*Escenarios!$E$4/12</f>
        <v/>
      </c>
      <c r="C23" s="10">
        <f>-Escenarios!$B$5+A23*Escenarios!$E$5/12</f>
        <v/>
      </c>
      <c r="D23" s="10">
        <f>-Escenarios!$B$6+A23*Escenarios!$E$6/12</f>
        <v/>
      </c>
      <c r="E23" s="10">
        <f>-Escenarios!$B$7+A23*Escenarios!$E$7/12</f>
        <v/>
      </c>
      <c r="F23" s="10">
        <f>-Escenarios!$B$8+A23*Escenarios!$E$8/12</f>
        <v/>
      </c>
      <c r="G23" s="10">
        <f>-Escenarios!$B$9+A23*Escenarios!$E$9/12</f>
        <v/>
      </c>
    </row>
    <row r="24">
      <c r="A24" t="n">
        <v>20</v>
      </c>
      <c r="B24" s="10">
        <f>-Escenarios!$B$4+A24*Escenarios!$E$4/12</f>
        <v/>
      </c>
      <c r="C24" s="10">
        <f>-Escenarios!$B$5+A24*Escenarios!$E$5/12</f>
        <v/>
      </c>
      <c r="D24" s="10">
        <f>-Escenarios!$B$6+A24*Escenarios!$E$6/12</f>
        <v/>
      </c>
      <c r="E24" s="10">
        <f>-Escenarios!$B$7+A24*Escenarios!$E$7/12</f>
        <v/>
      </c>
      <c r="F24" s="10">
        <f>-Escenarios!$B$8+A24*Escenarios!$E$8/12</f>
        <v/>
      </c>
      <c r="G24" s="10">
        <f>-Escenarios!$B$9+A24*Escenarios!$E$9/12</f>
        <v/>
      </c>
    </row>
    <row r="25">
      <c r="A25" t="n">
        <v>21</v>
      </c>
      <c r="B25" s="10">
        <f>-Escenarios!$B$4+A25*Escenarios!$E$4/12</f>
        <v/>
      </c>
      <c r="C25" s="10">
        <f>-Escenarios!$B$5+A25*Escenarios!$E$5/12</f>
        <v/>
      </c>
      <c r="D25" s="10">
        <f>-Escenarios!$B$6+A25*Escenarios!$E$6/12</f>
        <v/>
      </c>
      <c r="E25" s="10">
        <f>-Escenarios!$B$7+A25*Escenarios!$E$7/12</f>
        <v/>
      </c>
      <c r="F25" s="10">
        <f>-Escenarios!$B$8+A25*Escenarios!$E$8/12</f>
        <v/>
      </c>
      <c r="G25" s="10">
        <f>-Escenarios!$B$9+A25*Escenarios!$E$9/12</f>
        <v/>
      </c>
    </row>
    <row r="26">
      <c r="A26" t="n">
        <v>22</v>
      </c>
      <c r="B26" s="10">
        <f>-Escenarios!$B$4+A26*Escenarios!$E$4/12</f>
        <v/>
      </c>
      <c r="C26" s="10">
        <f>-Escenarios!$B$5+A26*Escenarios!$E$5/12</f>
        <v/>
      </c>
      <c r="D26" s="10">
        <f>-Escenarios!$B$6+A26*Escenarios!$E$6/12</f>
        <v/>
      </c>
      <c r="E26" s="10">
        <f>-Escenarios!$B$7+A26*Escenarios!$E$7/12</f>
        <v/>
      </c>
      <c r="F26" s="10">
        <f>-Escenarios!$B$8+A26*Escenarios!$E$8/12</f>
        <v/>
      </c>
      <c r="G26" s="10">
        <f>-Escenarios!$B$9+A26*Escenarios!$E$9/12</f>
        <v/>
      </c>
    </row>
    <row r="27">
      <c r="A27" t="n">
        <v>23</v>
      </c>
      <c r="B27" s="10">
        <f>-Escenarios!$B$4+A27*Escenarios!$E$4/12</f>
        <v/>
      </c>
      <c r="C27" s="10">
        <f>-Escenarios!$B$5+A27*Escenarios!$E$5/12</f>
        <v/>
      </c>
      <c r="D27" s="10">
        <f>-Escenarios!$B$6+A27*Escenarios!$E$6/12</f>
        <v/>
      </c>
      <c r="E27" s="10">
        <f>-Escenarios!$B$7+A27*Escenarios!$E$7/12</f>
        <v/>
      </c>
      <c r="F27" s="10">
        <f>-Escenarios!$B$8+A27*Escenarios!$E$8/12</f>
        <v/>
      </c>
      <c r="G27" s="10">
        <f>-Escenarios!$B$9+A27*Escenarios!$E$9/12</f>
        <v/>
      </c>
    </row>
    <row r="28">
      <c r="A28" t="n">
        <v>24</v>
      </c>
      <c r="B28" s="10">
        <f>-Escenarios!$B$4+A28*Escenarios!$E$4/12</f>
        <v/>
      </c>
      <c r="C28" s="10">
        <f>-Escenarios!$B$5+A28*Escenarios!$E$5/12</f>
        <v/>
      </c>
      <c r="D28" s="10">
        <f>-Escenarios!$B$6+A28*Escenarios!$E$6/12</f>
        <v/>
      </c>
      <c r="E28" s="10">
        <f>-Escenarios!$B$7+A28*Escenarios!$E$7/12</f>
        <v/>
      </c>
      <c r="F28" s="10">
        <f>-Escenarios!$B$8+A28*Escenarios!$E$8/12</f>
        <v/>
      </c>
      <c r="G28" s="10">
        <f>-Escenarios!$B$9+A28*Escenarios!$E$9/12</f>
        <v/>
      </c>
    </row>
    <row r="29">
      <c r="A29" t="n">
        <v>25</v>
      </c>
      <c r="B29" s="10">
        <f>-Escenarios!$B$4+A29*Escenarios!$E$4/12</f>
        <v/>
      </c>
      <c r="C29" s="10">
        <f>-Escenarios!$B$5+A29*Escenarios!$E$5/12</f>
        <v/>
      </c>
      <c r="D29" s="10">
        <f>-Escenarios!$B$6+A29*Escenarios!$E$6/12</f>
        <v/>
      </c>
      <c r="E29" s="10">
        <f>-Escenarios!$B$7+A29*Escenarios!$E$7/12</f>
        <v/>
      </c>
      <c r="F29" s="10">
        <f>-Escenarios!$B$8+A29*Escenarios!$E$8/12</f>
        <v/>
      </c>
      <c r="G29" s="10">
        <f>-Escenarios!$B$9+A29*Escenarios!$E$9/12</f>
        <v/>
      </c>
    </row>
    <row r="30">
      <c r="A30" t="n">
        <v>26</v>
      </c>
      <c r="B30" s="10">
        <f>-Escenarios!$B$4+A30*Escenarios!$E$4/12</f>
        <v/>
      </c>
      <c r="C30" s="10">
        <f>-Escenarios!$B$5+A30*Escenarios!$E$5/12</f>
        <v/>
      </c>
      <c r="D30" s="10">
        <f>-Escenarios!$B$6+A30*Escenarios!$E$6/12</f>
        <v/>
      </c>
      <c r="E30" s="10">
        <f>-Escenarios!$B$7+A30*Escenarios!$E$7/12</f>
        <v/>
      </c>
      <c r="F30" s="10">
        <f>-Escenarios!$B$8+A30*Escenarios!$E$8/12</f>
        <v/>
      </c>
      <c r="G30" s="10">
        <f>-Escenarios!$B$9+A30*Escenarios!$E$9/12</f>
        <v/>
      </c>
    </row>
    <row r="31">
      <c r="A31" t="n">
        <v>27</v>
      </c>
      <c r="B31" s="10">
        <f>-Escenarios!$B$4+A31*Escenarios!$E$4/12</f>
        <v/>
      </c>
      <c r="C31" s="10">
        <f>-Escenarios!$B$5+A31*Escenarios!$E$5/12</f>
        <v/>
      </c>
      <c r="D31" s="10">
        <f>-Escenarios!$B$6+A31*Escenarios!$E$6/12</f>
        <v/>
      </c>
      <c r="E31" s="10">
        <f>-Escenarios!$B$7+A31*Escenarios!$E$7/12</f>
        <v/>
      </c>
      <c r="F31" s="10">
        <f>-Escenarios!$B$8+A31*Escenarios!$E$8/12</f>
        <v/>
      </c>
      <c r="G31" s="10">
        <f>-Escenarios!$B$9+A31*Escenarios!$E$9/12</f>
        <v/>
      </c>
    </row>
    <row r="32">
      <c r="A32" t="n">
        <v>28</v>
      </c>
      <c r="B32" s="10">
        <f>-Escenarios!$B$4+A32*Escenarios!$E$4/12</f>
        <v/>
      </c>
      <c r="C32" s="10">
        <f>-Escenarios!$B$5+A32*Escenarios!$E$5/12</f>
        <v/>
      </c>
      <c r="D32" s="10">
        <f>-Escenarios!$B$6+A32*Escenarios!$E$6/12</f>
        <v/>
      </c>
      <c r="E32" s="10">
        <f>-Escenarios!$B$7+A32*Escenarios!$E$7/12</f>
        <v/>
      </c>
      <c r="F32" s="10">
        <f>-Escenarios!$B$8+A32*Escenarios!$E$8/12</f>
        <v/>
      </c>
      <c r="G32" s="10">
        <f>-Escenarios!$B$9+A32*Escenarios!$E$9/12</f>
        <v/>
      </c>
    </row>
    <row r="33">
      <c r="A33" t="n">
        <v>29</v>
      </c>
      <c r="B33" s="10">
        <f>-Escenarios!$B$4+A33*Escenarios!$E$4/12</f>
        <v/>
      </c>
      <c r="C33" s="10">
        <f>-Escenarios!$B$5+A33*Escenarios!$E$5/12</f>
        <v/>
      </c>
      <c r="D33" s="10">
        <f>-Escenarios!$B$6+A33*Escenarios!$E$6/12</f>
        <v/>
      </c>
      <c r="E33" s="10">
        <f>-Escenarios!$B$7+A33*Escenarios!$E$7/12</f>
        <v/>
      </c>
      <c r="F33" s="10">
        <f>-Escenarios!$B$8+A33*Escenarios!$E$8/12</f>
        <v/>
      </c>
      <c r="G33" s="10">
        <f>-Escenarios!$B$9+A33*Escenarios!$E$9/12</f>
        <v/>
      </c>
    </row>
    <row r="34">
      <c r="A34" t="n">
        <v>30</v>
      </c>
      <c r="B34" s="10">
        <f>-Escenarios!$B$4+A34*Escenarios!$E$4/12</f>
        <v/>
      </c>
      <c r="C34" s="10">
        <f>-Escenarios!$B$5+A34*Escenarios!$E$5/12</f>
        <v/>
      </c>
      <c r="D34" s="10">
        <f>-Escenarios!$B$6+A34*Escenarios!$E$6/12</f>
        <v/>
      </c>
      <c r="E34" s="10">
        <f>-Escenarios!$B$7+A34*Escenarios!$E$7/12</f>
        <v/>
      </c>
      <c r="F34" s="10">
        <f>-Escenarios!$B$8+A34*Escenarios!$E$8/12</f>
        <v/>
      </c>
      <c r="G34" s="10">
        <f>-Escenarios!$B$9+A34*Escenarios!$E$9/12</f>
        <v/>
      </c>
    </row>
    <row r="35">
      <c r="A35" t="n">
        <v>31</v>
      </c>
      <c r="B35" s="10">
        <f>-Escenarios!$B$4+A35*Escenarios!$E$4/12</f>
        <v/>
      </c>
      <c r="C35" s="10">
        <f>-Escenarios!$B$5+A35*Escenarios!$E$5/12</f>
        <v/>
      </c>
      <c r="D35" s="10">
        <f>-Escenarios!$B$6+A35*Escenarios!$E$6/12</f>
        <v/>
      </c>
      <c r="E35" s="10">
        <f>-Escenarios!$B$7+A35*Escenarios!$E$7/12</f>
        <v/>
      </c>
      <c r="F35" s="10">
        <f>-Escenarios!$B$8+A35*Escenarios!$E$8/12</f>
        <v/>
      </c>
      <c r="G35" s="10">
        <f>-Escenarios!$B$9+A35*Escenarios!$E$9/12</f>
        <v/>
      </c>
    </row>
    <row r="36">
      <c r="A36" t="n">
        <v>32</v>
      </c>
      <c r="B36" s="10">
        <f>-Escenarios!$B$4+A36*Escenarios!$E$4/12</f>
        <v/>
      </c>
      <c r="C36" s="10">
        <f>-Escenarios!$B$5+A36*Escenarios!$E$5/12</f>
        <v/>
      </c>
      <c r="D36" s="10">
        <f>-Escenarios!$B$6+A36*Escenarios!$E$6/12</f>
        <v/>
      </c>
      <c r="E36" s="10">
        <f>-Escenarios!$B$7+A36*Escenarios!$E$7/12</f>
        <v/>
      </c>
      <c r="F36" s="10">
        <f>-Escenarios!$B$8+A36*Escenarios!$E$8/12</f>
        <v/>
      </c>
      <c r="G36" s="10">
        <f>-Escenarios!$B$9+A36*Escenarios!$E$9/12</f>
        <v/>
      </c>
    </row>
    <row r="37">
      <c r="A37" t="n">
        <v>33</v>
      </c>
      <c r="B37" s="10">
        <f>-Escenarios!$B$4+A37*Escenarios!$E$4/12</f>
        <v/>
      </c>
      <c r="C37" s="10">
        <f>-Escenarios!$B$5+A37*Escenarios!$E$5/12</f>
        <v/>
      </c>
      <c r="D37" s="10">
        <f>-Escenarios!$B$6+A37*Escenarios!$E$6/12</f>
        <v/>
      </c>
      <c r="E37" s="10">
        <f>-Escenarios!$B$7+A37*Escenarios!$E$7/12</f>
        <v/>
      </c>
      <c r="F37" s="10">
        <f>-Escenarios!$B$8+A37*Escenarios!$E$8/12</f>
        <v/>
      </c>
      <c r="G37" s="10">
        <f>-Escenarios!$B$9+A37*Escenarios!$E$9/12</f>
        <v/>
      </c>
    </row>
    <row r="38">
      <c r="A38" t="n">
        <v>34</v>
      </c>
      <c r="B38" s="10">
        <f>-Escenarios!$B$4+A38*Escenarios!$E$4/12</f>
        <v/>
      </c>
      <c r="C38" s="10">
        <f>-Escenarios!$B$5+A38*Escenarios!$E$5/12</f>
        <v/>
      </c>
      <c r="D38" s="10">
        <f>-Escenarios!$B$6+A38*Escenarios!$E$6/12</f>
        <v/>
      </c>
      <c r="E38" s="10">
        <f>-Escenarios!$B$7+A38*Escenarios!$E$7/12</f>
        <v/>
      </c>
      <c r="F38" s="10">
        <f>-Escenarios!$B$8+A38*Escenarios!$E$8/12</f>
        <v/>
      </c>
      <c r="G38" s="10">
        <f>-Escenarios!$B$9+A38*Escenarios!$E$9/12</f>
        <v/>
      </c>
    </row>
    <row r="39">
      <c r="A39" t="n">
        <v>35</v>
      </c>
      <c r="B39" s="10">
        <f>-Escenarios!$B$4+A39*Escenarios!$E$4/12</f>
        <v/>
      </c>
      <c r="C39" s="10">
        <f>-Escenarios!$B$5+A39*Escenarios!$E$5/12</f>
        <v/>
      </c>
      <c r="D39" s="10">
        <f>-Escenarios!$B$6+A39*Escenarios!$E$6/12</f>
        <v/>
      </c>
      <c r="E39" s="10">
        <f>-Escenarios!$B$7+A39*Escenarios!$E$7/12</f>
        <v/>
      </c>
      <c r="F39" s="10">
        <f>-Escenarios!$B$8+A39*Escenarios!$E$8/12</f>
        <v/>
      </c>
      <c r="G39" s="10">
        <f>-Escenarios!$B$9+A39*Escenarios!$E$9/12</f>
        <v/>
      </c>
    </row>
    <row r="40">
      <c r="A40" t="n">
        <v>36</v>
      </c>
      <c r="B40" s="10">
        <f>-Escenarios!$B$4+A40*Escenarios!$E$4/12</f>
        <v/>
      </c>
      <c r="C40" s="10">
        <f>-Escenarios!$B$5+A40*Escenarios!$E$5/12</f>
        <v/>
      </c>
      <c r="D40" s="10">
        <f>-Escenarios!$B$6+A40*Escenarios!$E$6/12</f>
        <v/>
      </c>
      <c r="E40" s="10">
        <f>-Escenarios!$B$7+A40*Escenarios!$E$7/12</f>
        <v/>
      </c>
      <c r="F40" s="10">
        <f>-Escenarios!$B$8+A40*Escenarios!$E$8/12</f>
        <v/>
      </c>
      <c r="G40" s="10">
        <f>-Escenarios!$B$9+A40*Escenarios!$E$9/12</f>
        <v/>
      </c>
    </row>
    <row r="41">
      <c r="A41" t="n">
        <v>37</v>
      </c>
      <c r="B41" s="10">
        <f>-Escenarios!$B$4+A41*Escenarios!$E$4/12</f>
        <v/>
      </c>
      <c r="C41" s="10">
        <f>-Escenarios!$B$5+A41*Escenarios!$E$5/12</f>
        <v/>
      </c>
      <c r="D41" s="10">
        <f>-Escenarios!$B$6+A41*Escenarios!$E$6/12</f>
        <v/>
      </c>
      <c r="E41" s="10">
        <f>-Escenarios!$B$7+A41*Escenarios!$E$7/12</f>
        <v/>
      </c>
      <c r="F41" s="10">
        <f>-Escenarios!$B$8+A41*Escenarios!$E$8/12</f>
        <v/>
      </c>
      <c r="G41" s="10">
        <f>-Escenarios!$B$9+A41*Escenarios!$E$9/12</f>
        <v/>
      </c>
    </row>
    <row r="42">
      <c r="A42" t="n">
        <v>38</v>
      </c>
      <c r="B42" s="10">
        <f>-Escenarios!$B$4+A42*Escenarios!$E$4/12</f>
        <v/>
      </c>
      <c r="C42" s="10">
        <f>-Escenarios!$B$5+A42*Escenarios!$E$5/12</f>
        <v/>
      </c>
      <c r="D42" s="10">
        <f>-Escenarios!$B$6+A42*Escenarios!$E$6/12</f>
        <v/>
      </c>
      <c r="E42" s="10">
        <f>-Escenarios!$B$7+A42*Escenarios!$E$7/12</f>
        <v/>
      </c>
      <c r="F42" s="10">
        <f>-Escenarios!$B$8+A42*Escenarios!$E$8/12</f>
        <v/>
      </c>
      <c r="G42" s="10">
        <f>-Escenarios!$B$9+A42*Escenarios!$E$9/12</f>
        <v/>
      </c>
    </row>
    <row r="43">
      <c r="A43" t="n">
        <v>39</v>
      </c>
      <c r="B43" s="10">
        <f>-Escenarios!$B$4+A43*Escenarios!$E$4/12</f>
        <v/>
      </c>
      <c r="C43" s="10">
        <f>-Escenarios!$B$5+A43*Escenarios!$E$5/12</f>
        <v/>
      </c>
      <c r="D43" s="10">
        <f>-Escenarios!$B$6+A43*Escenarios!$E$6/12</f>
        <v/>
      </c>
      <c r="E43" s="10">
        <f>-Escenarios!$B$7+A43*Escenarios!$E$7/12</f>
        <v/>
      </c>
      <c r="F43" s="10">
        <f>-Escenarios!$B$8+A43*Escenarios!$E$8/12</f>
        <v/>
      </c>
      <c r="G43" s="10">
        <f>-Escenarios!$B$9+A43*Escenarios!$E$9/12</f>
        <v/>
      </c>
    </row>
    <row r="44">
      <c r="A44" t="n">
        <v>40</v>
      </c>
      <c r="B44" s="10">
        <f>-Escenarios!$B$4+A44*Escenarios!$E$4/12</f>
        <v/>
      </c>
      <c r="C44" s="10">
        <f>-Escenarios!$B$5+A44*Escenarios!$E$5/12</f>
        <v/>
      </c>
      <c r="D44" s="10">
        <f>-Escenarios!$B$6+A44*Escenarios!$E$6/12</f>
        <v/>
      </c>
      <c r="E44" s="10">
        <f>-Escenarios!$B$7+A44*Escenarios!$E$7/12</f>
        <v/>
      </c>
      <c r="F44" s="10">
        <f>-Escenarios!$B$8+A44*Escenarios!$E$8/12</f>
        <v/>
      </c>
      <c r="G44" s="10">
        <f>-Escenarios!$B$9+A44*Escenarios!$E$9/12</f>
        <v/>
      </c>
    </row>
    <row r="45">
      <c r="A45" t="n">
        <v>41</v>
      </c>
      <c r="B45" s="10">
        <f>-Escenarios!$B$4+A45*Escenarios!$E$4/12</f>
        <v/>
      </c>
      <c r="C45" s="10">
        <f>-Escenarios!$B$5+A45*Escenarios!$E$5/12</f>
        <v/>
      </c>
      <c r="D45" s="10">
        <f>-Escenarios!$B$6+A45*Escenarios!$E$6/12</f>
        <v/>
      </c>
      <c r="E45" s="10">
        <f>-Escenarios!$B$7+A45*Escenarios!$E$7/12</f>
        <v/>
      </c>
      <c r="F45" s="10">
        <f>-Escenarios!$B$8+A45*Escenarios!$E$8/12</f>
        <v/>
      </c>
      <c r="G45" s="10">
        <f>-Escenarios!$B$9+A45*Escenarios!$E$9/12</f>
        <v/>
      </c>
    </row>
    <row r="46">
      <c r="A46" t="n">
        <v>42</v>
      </c>
      <c r="B46" s="10">
        <f>-Escenarios!$B$4+A46*Escenarios!$E$4/12</f>
        <v/>
      </c>
      <c r="C46" s="10">
        <f>-Escenarios!$B$5+A46*Escenarios!$E$5/12</f>
        <v/>
      </c>
      <c r="D46" s="10">
        <f>-Escenarios!$B$6+A46*Escenarios!$E$6/12</f>
        <v/>
      </c>
      <c r="E46" s="10">
        <f>-Escenarios!$B$7+A46*Escenarios!$E$7/12</f>
        <v/>
      </c>
      <c r="F46" s="10">
        <f>-Escenarios!$B$8+A46*Escenarios!$E$8/12</f>
        <v/>
      </c>
      <c r="G46" s="10">
        <f>-Escenarios!$B$9+A46*Escenarios!$E$9/12</f>
        <v/>
      </c>
    </row>
    <row r="47">
      <c r="A47" t="n">
        <v>43</v>
      </c>
      <c r="B47" s="10">
        <f>-Escenarios!$B$4+A47*Escenarios!$E$4/12</f>
        <v/>
      </c>
      <c r="C47" s="10">
        <f>-Escenarios!$B$5+A47*Escenarios!$E$5/12</f>
        <v/>
      </c>
      <c r="D47" s="10">
        <f>-Escenarios!$B$6+A47*Escenarios!$E$6/12</f>
        <v/>
      </c>
      <c r="E47" s="10">
        <f>-Escenarios!$B$7+A47*Escenarios!$E$7/12</f>
        <v/>
      </c>
      <c r="F47" s="10">
        <f>-Escenarios!$B$8+A47*Escenarios!$E$8/12</f>
        <v/>
      </c>
      <c r="G47" s="10">
        <f>-Escenarios!$B$9+A47*Escenarios!$E$9/12</f>
        <v/>
      </c>
    </row>
    <row r="48">
      <c r="A48" t="n">
        <v>44</v>
      </c>
      <c r="B48" s="10">
        <f>-Escenarios!$B$4+A48*Escenarios!$E$4/12</f>
        <v/>
      </c>
      <c r="C48" s="10">
        <f>-Escenarios!$B$5+A48*Escenarios!$E$5/12</f>
        <v/>
      </c>
      <c r="D48" s="10">
        <f>-Escenarios!$B$6+A48*Escenarios!$E$6/12</f>
        <v/>
      </c>
      <c r="E48" s="10">
        <f>-Escenarios!$B$7+A48*Escenarios!$E$7/12</f>
        <v/>
      </c>
      <c r="F48" s="10">
        <f>-Escenarios!$B$8+A48*Escenarios!$E$8/12</f>
        <v/>
      </c>
      <c r="G48" s="10">
        <f>-Escenarios!$B$9+A48*Escenarios!$E$9/12</f>
        <v/>
      </c>
    </row>
    <row r="49">
      <c r="A49" t="n">
        <v>45</v>
      </c>
      <c r="B49" s="10">
        <f>-Escenarios!$B$4+A49*Escenarios!$E$4/12</f>
        <v/>
      </c>
      <c r="C49" s="10">
        <f>-Escenarios!$B$5+A49*Escenarios!$E$5/12</f>
        <v/>
      </c>
      <c r="D49" s="10">
        <f>-Escenarios!$B$6+A49*Escenarios!$E$6/12</f>
        <v/>
      </c>
      <c r="E49" s="10">
        <f>-Escenarios!$B$7+A49*Escenarios!$E$7/12</f>
        <v/>
      </c>
      <c r="F49" s="10">
        <f>-Escenarios!$B$8+A49*Escenarios!$E$8/12</f>
        <v/>
      </c>
      <c r="G49" s="10">
        <f>-Escenarios!$B$9+A49*Escenarios!$E$9/12</f>
        <v/>
      </c>
    </row>
    <row r="50">
      <c r="A50" t="n">
        <v>46</v>
      </c>
      <c r="B50" s="10">
        <f>-Escenarios!$B$4+A50*Escenarios!$E$4/12</f>
        <v/>
      </c>
      <c r="C50" s="10">
        <f>-Escenarios!$B$5+A50*Escenarios!$E$5/12</f>
        <v/>
      </c>
      <c r="D50" s="10">
        <f>-Escenarios!$B$6+A50*Escenarios!$E$6/12</f>
        <v/>
      </c>
      <c r="E50" s="10">
        <f>-Escenarios!$B$7+A50*Escenarios!$E$7/12</f>
        <v/>
      </c>
      <c r="F50" s="10">
        <f>-Escenarios!$B$8+A50*Escenarios!$E$8/12</f>
        <v/>
      </c>
      <c r="G50" s="10">
        <f>-Escenarios!$B$9+A50*Escenarios!$E$9/12</f>
        <v/>
      </c>
    </row>
    <row r="51">
      <c r="A51" t="n">
        <v>47</v>
      </c>
      <c r="B51" s="10">
        <f>-Escenarios!$B$4+A51*Escenarios!$E$4/12</f>
        <v/>
      </c>
      <c r="C51" s="10">
        <f>-Escenarios!$B$5+A51*Escenarios!$E$5/12</f>
        <v/>
      </c>
      <c r="D51" s="10">
        <f>-Escenarios!$B$6+A51*Escenarios!$E$6/12</f>
        <v/>
      </c>
      <c r="E51" s="10">
        <f>-Escenarios!$B$7+A51*Escenarios!$E$7/12</f>
        <v/>
      </c>
      <c r="F51" s="10">
        <f>-Escenarios!$B$8+A51*Escenarios!$E$8/12</f>
        <v/>
      </c>
      <c r="G51" s="10">
        <f>-Escenarios!$B$9+A51*Escenarios!$E$9/12</f>
        <v/>
      </c>
    </row>
    <row r="52">
      <c r="A52" t="n">
        <v>48</v>
      </c>
      <c r="B52" s="10">
        <f>-Escenarios!$B$4+A52*Escenarios!$E$4/12</f>
        <v/>
      </c>
      <c r="C52" s="10">
        <f>-Escenarios!$B$5+A52*Escenarios!$E$5/12</f>
        <v/>
      </c>
      <c r="D52" s="10">
        <f>-Escenarios!$B$6+A52*Escenarios!$E$6/12</f>
        <v/>
      </c>
      <c r="E52" s="10">
        <f>-Escenarios!$B$7+A52*Escenarios!$E$7/12</f>
        <v/>
      </c>
      <c r="F52" s="10">
        <f>-Escenarios!$B$8+A52*Escenarios!$E$8/12</f>
        <v/>
      </c>
      <c r="G52" s="10">
        <f>-Escenarios!$B$9+A52*Escenarios!$E$9/12</f>
        <v/>
      </c>
    </row>
    <row r="53">
      <c r="A53" t="n">
        <v>49</v>
      </c>
      <c r="B53" s="10">
        <f>-Escenarios!$B$4+A53*Escenarios!$E$4/12</f>
        <v/>
      </c>
      <c r="C53" s="10">
        <f>-Escenarios!$B$5+A53*Escenarios!$E$5/12</f>
        <v/>
      </c>
      <c r="D53" s="10">
        <f>-Escenarios!$B$6+A53*Escenarios!$E$6/12</f>
        <v/>
      </c>
      <c r="E53" s="10">
        <f>-Escenarios!$B$7+A53*Escenarios!$E$7/12</f>
        <v/>
      </c>
      <c r="F53" s="10">
        <f>-Escenarios!$B$8+A53*Escenarios!$E$8/12</f>
        <v/>
      </c>
      <c r="G53" s="10">
        <f>-Escenarios!$B$9+A53*Escenarios!$E$9/12</f>
        <v/>
      </c>
    </row>
    <row r="54">
      <c r="A54" t="n">
        <v>50</v>
      </c>
      <c r="B54" s="10">
        <f>-Escenarios!$B$4+A54*Escenarios!$E$4/12</f>
        <v/>
      </c>
      <c r="C54" s="10">
        <f>-Escenarios!$B$5+A54*Escenarios!$E$5/12</f>
        <v/>
      </c>
      <c r="D54" s="10">
        <f>-Escenarios!$B$6+A54*Escenarios!$E$6/12</f>
        <v/>
      </c>
      <c r="E54" s="10">
        <f>-Escenarios!$B$7+A54*Escenarios!$E$7/12</f>
        <v/>
      </c>
      <c r="F54" s="10">
        <f>-Escenarios!$B$8+A54*Escenarios!$E$8/12</f>
        <v/>
      </c>
      <c r="G54" s="10">
        <f>-Escenarios!$B$9+A54*Escenarios!$E$9/12</f>
        <v/>
      </c>
    </row>
    <row r="55">
      <c r="A55" t="n">
        <v>51</v>
      </c>
      <c r="B55" s="10">
        <f>-Escenarios!$B$4+A55*Escenarios!$E$4/12</f>
        <v/>
      </c>
      <c r="C55" s="10">
        <f>-Escenarios!$B$5+A55*Escenarios!$E$5/12</f>
        <v/>
      </c>
      <c r="D55" s="10">
        <f>-Escenarios!$B$6+A55*Escenarios!$E$6/12</f>
        <v/>
      </c>
      <c r="E55" s="10">
        <f>-Escenarios!$B$7+A55*Escenarios!$E$7/12</f>
        <v/>
      </c>
      <c r="F55" s="10">
        <f>-Escenarios!$B$8+A55*Escenarios!$E$8/12</f>
        <v/>
      </c>
      <c r="G55" s="10">
        <f>-Escenarios!$B$9+A55*Escenarios!$E$9/12</f>
        <v/>
      </c>
    </row>
    <row r="56">
      <c r="A56" t="n">
        <v>52</v>
      </c>
      <c r="B56" s="10">
        <f>-Escenarios!$B$4+A56*Escenarios!$E$4/12</f>
        <v/>
      </c>
      <c r="C56" s="10">
        <f>-Escenarios!$B$5+A56*Escenarios!$E$5/12</f>
        <v/>
      </c>
      <c r="D56" s="10">
        <f>-Escenarios!$B$6+A56*Escenarios!$E$6/12</f>
        <v/>
      </c>
      <c r="E56" s="10">
        <f>-Escenarios!$B$7+A56*Escenarios!$E$7/12</f>
        <v/>
      </c>
      <c r="F56" s="10">
        <f>-Escenarios!$B$8+A56*Escenarios!$E$8/12</f>
        <v/>
      </c>
      <c r="G56" s="10">
        <f>-Escenarios!$B$9+A56*Escenarios!$E$9/12</f>
        <v/>
      </c>
    </row>
    <row r="57">
      <c r="A57" t="n">
        <v>53</v>
      </c>
      <c r="B57" s="10">
        <f>-Escenarios!$B$4+A57*Escenarios!$E$4/12</f>
        <v/>
      </c>
      <c r="C57" s="10">
        <f>-Escenarios!$B$5+A57*Escenarios!$E$5/12</f>
        <v/>
      </c>
      <c r="D57" s="10">
        <f>-Escenarios!$B$6+A57*Escenarios!$E$6/12</f>
        <v/>
      </c>
      <c r="E57" s="10">
        <f>-Escenarios!$B$7+A57*Escenarios!$E$7/12</f>
        <v/>
      </c>
      <c r="F57" s="10">
        <f>-Escenarios!$B$8+A57*Escenarios!$E$8/12</f>
        <v/>
      </c>
      <c r="G57" s="10">
        <f>-Escenarios!$B$9+A57*Escenarios!$E$9/12</f>
        <v/>
      </c>
    </row>
    <row r="58">
      <c r="A58" t="n">
        <v>54</v>
      </c>
      <c r="B58" s="10">
        <f>-Escenarios!$B$4+A58*Escenarios!$E$4/12</f>
        <v/>
      </c>
      <c r="C58" s="10">
        <f>-Escenarios!$B$5+A58*Escenarios!$E$5/12</f>
        <v/>
      </c>
      <c r="D58" s="10">
        <f>-Escenarios!$B$6+A58*Escenarios!$E$6/12</f>
        <v/>
      </c>
      <c r="E58" s="10">
        <f>-Escenarios!$B$7+A58*Escenarios!$E$7/12</f>
        <v/>
      </c>
      <c r="F58" s="10">
        <f>-Escenarios!$B$8+A58*Escenarios!$E$8/12</f>
        <v/>
      </c>
      <c r="G58" s="10">
        <f>-Escenarios!$B$9+A58*Escenarios!$E$9/12</f>
        <v/>
      </c>
    </row>
    <row r="59">
      <c r="A59" t="n">
        <v>55</v>
      </c>
      <c r="B59" s="10">
        <f>-Escenarios!$B$4+A59*Escenarios!$E$4/12</f>
        <v/>
      </c>
      <c r="C59" s="10">
        <f>-Escenarios!$B$5+A59*Escenarios!$E$5/12</f>
        <v/>
      </c>
      <c r="D59" s="10">
        <f>-Escenarios!$B$6+A59*Escenarios!$E$6/12</f>
        <v/>
      </c>
      <c r="E59" s="10">
        <f>-Escenarios!$B$7+A59*Escenarios!$E$7/12</f>
        <v/>
      </c>
      <c r="F59" s="10">
        <f>-Escenarios!$B$8+A59*Escenarios!$E$8/12</f>
        <v/>
      </c>
      <c r="G59" s="10">
        <f>-Escenarios!$B$9+A59*Escenarios!$E$9/12</f>
        <v/>
      </c>
    </row>
    <row r="60">
      <c r="A60" t="n">
        <v>56</v>
      </c>
      <c r="B60" s="10">
        <f>-Escenarios!$B$4+A60*Escenarios!$E$4/12</f>
        <v/>
      </c>
      <c r="C60" s="10">
        <f>-Escenarios!$B$5+A60*Escenarios!$E$5/12</f>
        <v/>
      </c>
      <c r="D60" s="10">
        <f>-Escenarios!$B$6+A60*Escenarios!$E$6/12</f>
        <v/>
      </c>
      <c r="E60" s="10">
        <f>-Escenarios!$B$7+A60*Escenarios!$E$7/12</f>
        <v/>
      </c>
      <c r="F60" s="10">
        <f>-Escenarios!$B$8+A60*Escenarios!$E$8/12</f>
        <v/>
      </c>
      <c r="G60" s="10">
        <f>-Escenarios!$B$9+A60*Escenarios!$E$9/12</f>
        <v/>
      </c>
    </row>
    <row r="61">
      <c r="A61" t="n">
        <v>57</v>
      </c>
      <c r="B61" s="10">
        <f>-Escenarios!$B$4+A61*Escenarios!$E$4/12</f>
        <v/>
      </c>
      <c r="C61" s="10">
        <f>-Escenarios!$B$5+A61*Escenarios!$E$5/12</f>
        <v/>
      </c>
      <c r="D61" s="10">
        <f>-Escenarios!$B$6+A61*Escenarios!$E$6/12</f>
        <v/>
      </c>
      <c r="E61" s="10">
        <f>-Escenarios!$B$7+A61*Escenarios!$E$7/12</f>
        <v/>
      </c>
      <c r="F61" s="10">
        <f>-Escenarios!$B$8+A61*Escenarios!$E$8/12</f>
        <v/>
      </c>
      <c r="G61" s="10">
        <f>-Escenarios!$B$9+A61*Escenarios!$E$9/12</f>
        <v/>
      </c>
    </row>
    <row r="62">
      <c r="A62" t="n">
        <v>58</v>
      </c>
      <c r="B62" s="10">
        <f>-Escenarios!$B$4+A62*Escenarios!$E$4/12</f>
        <v/>
      </c>
      <c r="C62" s="10">
        <f>-Escenarios!$B$5+A62*Escenarios!$E$5/12</f>
        <v/>
      </c>
      <c r="D62" s="10">
        <f>-Escenarios!$B$6+A62*Escenarios!$E$6/12</f>
        <v/>
      </c>
      <c r="E62" s="10">
        <f>-Escenarios!$B$7+A62*Escenarios!$E$7/12</f>
        <v/>
      </c>
      <c r="F62" s="10">
        <f>-Escenarios!$B$8+A62*Escenarios!$E$8/12</f>
        <v/>
      </c>
      <c r="G62" s="10">
        <f>-Escenarios!$B$9+A62*Escenarios!$E$9/12</f>
        <v/>
      </c>
    </row>
    <row r="63">
      <c r="A63" t="n">
        <v>59</v>
      </c>
      <c r="B63" s="10">
        <f>-Escenarios!$B$4+A63*Escenarios!$E$4/12</f>
        <v/>
      </c>
      <c r="C63" s="10">
        <f>-Escenarios!$B$5+A63*Escenarios!$E$5/12</f>
        <v/>
      </c>
      <c r="D63" s="10">
        <f>-Escenarios!$B$6+A63*Escenarios!$E$6/12</f>
        <v/>
      </c>
      <c r="E63" s="10">
        <f>-Escenarios!$B$7+A63*Escenarios!$E$7/12</f>
        <v/>
      </c>
      <c r="F63" s="10">
        <f>-Escenarios!$B$8+A63*Escenarios!$E$8/12</f>
        <v/>
      </c>
      <c r="G63" s="10">
        <f>-Escenarios!$B$9+A63*Escenarios!$E$9/12</f>
        <v/>
      </c>
    </row>
    <row r="64">
      <c r="A64" t="n">
        <v>60</v>
      </c>
      <c r="B64" s="10">
        <f>-Escenarios!$B$4+A64*Escenarios!$E$4/12</f>
        <v/>
      </c>
      <c r="C64" s="10">
        <f>-Escenarios!$B$5+A64*Escenarios!$E$5/12</f>
        <v/>
      </c>
      <c r="D64" s="10">
        <f>-Escenarios!$B$6+A64*Escenarios!$E$6/12</f>
        <v/>
      </c>
      <c r="E64" s="10">
        <f>-Escenarios!$B$7+A64*Escenarios!$E$7/12</f>
        <v/>
      </c>
      <c r="F64" s="10">
        <f>-Escenarios!$B$8+A64*Escenarios!$E$8/12</f>
        <v/>
      </c>
      <c r="G64" s="10">
        <f>-Escenarios!$B$9+A64*Escenarios!$E$9/12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2026-10-01T03:46:54Z</dcterms:created>
  <dcterms:modified xsi:type="dcterms:W3CDTF">2026-10-01T03:46:54Z</dcterms:modified>
</cp:coreProperties>
</file>